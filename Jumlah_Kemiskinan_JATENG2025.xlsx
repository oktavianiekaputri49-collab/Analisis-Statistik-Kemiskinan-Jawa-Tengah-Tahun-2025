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88A3C039-A982-4C44-8BC1-4EB92D4050BF}" xr6:coauthVersionLast="47" xr6:coauthVersionMax="47" xr10:uidLastSave="{00000000-0000-0000-0000-000000000000}"/>
  <bookViews>
    <workbookView xWindow="-110" yWindow="-110" windowWidth="19420" windowHeight="10300" xr2:uid="{6B1872B6-D010-4377-80A8-036C3E80C0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F4" i="1"/>
  <c r="E4" i="1"/>
  <c r="D4" i="1"/>
  <c r="D45" i="1"/>
  <c r="D44" i="1"/>
  <c r="D43" i="1"/>
  <c r="D42" i="1"/>
  <c r="D41" i="1"/>
  <c r="D39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40" i="1" l="1"/>
  <c r="F38" i="1"/>
  <c r="G38" i="1" s="1"/>
  <c r="E38" i="1"/>
  <c r="F37" i="1"/>
  <c r="G37" i="1" s="1"/>
  <c r="E37" i="1"/>
  <c r="F36" i="1"/>
  <c r="G36" i="1" s="1"/>
  <c r="E36" i="1"/>
  <c r="F35" i="1"/>
  <c r="G35" i="1" s="1"/>
  <c r="E35" i="1"/>
  <c r="F34" i="1"/>
  <c r="G34" i="1" s="1"/>
  <c r="E34" i="1"/>
  <c r="F33" i="1"/>
  <c r="G33" i="1" s="1"/>
  <c r="E33" i="1"/>
  <c r="F32" i="1"/>
  <c r="G32" i="1" s="1"/>
  <c r="E32" i="1"/>
  <c r="F31" i="1"/>
  <c r="G31" i="1" s="1"/>
  <c r="E31" i="1"/>
  <c r="F30" i="1"/>
  <c r="G30" i="1" s="1"/>
  <c r="E30" i="1"/>
  <c r="F29" i="1"/>
  <c r="G29" i="1" s="1"/>
  <c r="E29" i="1"/>
  <c r="F28" i="1"/>
  <c r="G28" i="1" s="1"/>
  <c r="E28" i="1"/>
  <c r="F27" i="1"/>
  <c r="G27" i="1" s="1"/>
  <c r="E27" i="1"/>
  <c r="F26" i="1"/>
  <c r="G26" i="1" s="1"/>
  <c r="E26" i="1"/>
  <c r="F25" i="1"/>
  <c r="G25" i="1" s="1"/>
  <c r="E25" i="1"/>
  <c r="F24" i="1"/>
  <c r="G24" i="1" s="1"/>
  <c r="E24" i="1"/>
  <c r="F23" i="1"/>
  <c r="G23" i="1" s="1"/>
  <c r="E23" i="1"/>
  <c r="F22" i="1"/>
  <c r="G22" i="1" s="1"/>
  <c r="E22" i="1"/>
  <c r="F21" i="1"/>
  <c r="G21" i="1" s="1"/>
  <c r="E21" i="1"/>
  <c r="F20" i="1"/>
  <c r="G20" i="1" s="1"/>
  <c r="E20" i="1"/>
  <c r="F19" i="1"/>
  <c r="G19" i="1" s="1"/>
  <c r="E19" i="1"/>
  <c r="F18" i="1"/>
  <c r="G18" i="1" s="1"/>
  <c r="E18" i="1"/>
  <c r="F17" i="1"/>
  <c r="G17" i="1" s="1"/>
  <c r="E17" i="1"/>
  <c r="F16" i="1"/>
  <c r="G16" i="1" s="1"/>
  <c r="E16" i="1"/>
  <c r="F15" i="1"/>
  <c r="G15" i="1" s="1"/>
  <c r="E15" i="1"/>
  <c r="F14" i="1"/>
  <c r="G14" i="1" s="1"/>
  <c r="E14" i="1"/>
  <c r="F13" i="1"/>
  <c r="G13" i="1" s="1"/>
  <c r="E13" i="1"/>
  <c r="F12" i="1"/>
  <c r="G12" i="1" s="1"/>
  <c r="E12" i="1"/>
  <c r="F11" i="1"/>
  <c r="G11" i="1" s="1"/>
  <c r="E11" i="1"/>
  <c r="F10" i="1"/>
  <c r="G10" i="1" s="1"/>
  <c r="E10" i="1"/>
  <c r="F9" i="1"/>
  <c r="G9" i="1" s="1"/>
  <c r="E9" i="1"/>
  <c r="F8" i="1"/>
  <c r="G8" i="1" s="1"/>
  <c r="E8" i="1"/>
  <c r="F7" i="1"/>
  <c r="G7" i="1" s="1"/>
  <c r="E7" i="1"/>
  <c r="F6" i="1"/>
  <c r="G6" i="1" s="1"/>
  <c r="E6" i="1"/>
  <c r="F5" i="1"/>
  <c r="G5" i="1" s="1"/>
  <c r="E5" i="1"/>
</calcChain>
</file>

<file path=xl/sharedStrings.xml><?xml version="1.0" encoding="utf-8"?>
<sst xmlns="http://schemas.openxmlformats.org/spreadsheetml/2006/main" count="50" uniqueCount="45">
  <si>
    <t>Proporsi</t>
  </si>
  <si>
    <t>xi-xbar</t>
  </si>
  <si>
    <t>(xi-xbar)^2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</si>
  <si>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</si>
  <si>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</si>
  <si>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</si>
  <si>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</si>
  <si>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</si>
  <si>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</si>
  <si>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</si>
  <si>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</si>
  <si>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</si>
  <si>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</si>
  <si>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</si>
  <si>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</si>
  <si>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</si>
  <si>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</si>
  <si>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</si>
  <si>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</si>
  <si>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</si>
  <si>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</si>
  <si>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</si>
  <si>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</si>
  <si>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</si>
  <si>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</si>
  <si>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</si>
  <si>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</si>
  <si>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</si>
  <si>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</si>
  <si>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</si>
  <si>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</si>
  <si>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</si>
  <si>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Surakarta</t>
  </si>
  <si>
    <t>Salatiga</t>
  </si>
  <si>
    <t>Jumlah Kemiskinan di Jawa Tengah Tahun 2025</t>
  </si>
  <si>
    <t>Total</t>
  </si>
  <si>
    <t>Rata-rata</t>
  </si>
  <si>
    <t>Total Proporsi</t>
  </si>
  <si>
    <t>Total S^2</t>
  </si>
  <si>
    <t>S^2</t>
  </si>
  <si>
    <t>q</t>
  </si>
  <si>
    <t>Kabupaten/
Kota</t>
  </si>
  <si>
    <t>Jumlah 
Penduduk (Jiwa)</t>
  </si>
  <si>
    <t>Persentase 
Kemiskinan</t>
  </si>
  <si>
    <t>Kemiskinan 
(Ribuan)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</si>
</sst>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164" fontId="3" fillId="0" borderId="0" xfId="1" applyNumberFormat="1" applyFont="1"/>
    <xf numFmtId="2" fontId="3" fillId="0" borderId="0" xfId="0" applyNumberFormat="1" applyFont="1"/>
    <xf numFmtId="0" fontId="3" fillId="0" borderId="0" xfId="0" applyFont="1"/>
    <xf numFmtId="0" fontId="3" fillId="0" borderId="1" xfId="0" applyFont="1" applyBorder="1"/>
    <xf numFmtId="2" fontId="2" fillId="0" borderId="0" xfId="0" applyNumberFormat="1" applyFont="1"/>
    <xf numFmtId="43" fontId="2" fillId="0" borderId="0" xfId="1" applyFont="1"/>
    <xf numFmtId="43" fontId="2" fillId="0" borderId="0" xfId="0" applyNumberFormat="1" applyFont="1"/>
    <xf numFmtId="43" fontId="3" fillId="0" borderId="1" xfId="1" applyFont="1" applyBorder="1"/>
    <xf numFmtId="43" fontId="3" fillId="0" borderId="1" xfId="0" applyNumberFormat="1" applyFont="1" applyBorder="1"/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04F0-9896-43CF-A5D2-FC9CA3AD9DFD}">
  <dimension ref="A1:G45"/>
  <sheetViews>
    <sheetView tabSelected="1" workbookViewId="0">
      <selection activeCell="G5" sqref="G5"/>
    </sheetView>
  </sheetViews>
  <sheetFormatPr defaultRowHeight="15.5" x14ac:dyDescent="0.35"/>
  <cols>
    <col min="1" max="1" width="11.81640625" style="4" customWidth="1"/>
    <col min="2" max="2" width="17.7265625" style="4" customWidth="1"/>
    <col min="3" max="3" width="12.54296875" style="4" customWidth="1"/>
    <col min="4" max="4" width="13" style="4" customWidth="1"/>
    <col min="5" max="5" width="10.453125" style="4" bestFit="1" customWidth="1"/>
    <col min="6" max="6" width="8.7265625" style="4"/>
    <col min="7" max="7" width="11.453125" style="4" bestFit="1" customWidth="1"/>
    <col min="8" max="16384" width="8.7265625" style="4"/>
  </cols>
  <sheetData>
    <row r="1" spans="1:7" x14ac:dyDescent="0.35">
      <c r="A1" s="1" t="s">
        <v>34</v>
      </c>
      <c r="B1" s="2"/>
      <c r="C1" s="3"/>
    </row>
    <row r="2" spans="1:7" x14ac:dyDescent="0.35">
      <c r="B2" s="2"/>
      <c r="C2" s="3"/>
    </row>
    <row r="3" spans="1:7" ht="30" x14ac:dyDescent="0.35">
      <c r="A3" s="11" t="s">
        <v>41</v>
      </c>
      <c r="B3" s="12" t="s">
        <v>42</v>
      </c>
      <c r="C3" s="13" t="s">
        <v>43</v>
      </c>
      <c r="D3" s="14" t="s">
        <v>44</v>
      </c>
      <c r="E3" s="15" t="s">
        <v>0</v>
      </c>
      <c r="F3" s="16" t="s">
        <v>1</v>
      </c>
      <c r="G3" s="16" t="s">
        <v>2</v>
      </c>
    </row>
    <row r="4" spans="1:7" x14ac:dyDescent="0.35">
      <c r="A4" s="5" t="s">
        <v>3</v>
      </c>
      <c r="B4" s="5">
        <v>164.22</v>
      </c>
      <c r="C4" s="5">
        <v>9.41</v>
      </c>
      <c r="D4" s="9">
        <f>C4*B4/100</f>
        <v>15.453102000000001</v>
      </c>
      <c r="E4" s="10">
        <f>D4/B4</f>
        <v>9.4100000000000003E-2</v>
      </c>
      <c r="F4" s="10">
        <f>D4-$D$40</f>
        <v>5.5220586571428587</v>
      </c>
      <c r="G4" s="10">
        <f>F4^2</f>
        <v>30.493131812926393</v>
      </c>
    </row>
    <row r="5" spans="1:7" x14ac:dyDescent="0.35">
      <c r="A5" s="5" t="s">
        <v>4</v>
      </c>
      <c r="B5" s="5">
        <v>194.87</v>
      </c>
      <c r="C5" s="5">
        <v>11.15</v>
      </c>
      <c r="D5" s="9">
        <f t="shared" ref="D5:D38" si="0">C5*B5/100</f>
        <v>21.728005000000003</v>
      </c>
      <c r="E5" s="10">
        <f t="shared" ref="E5:E38" si="1">D5/B5</f>
        <v>0.11150000000000002</v>
      </c>
      <c r="F5" s="10">
        <f t="shared" ref="F5:F38" si="2">D5-$D$40</f>
        <v>11.796961657142861</v>
      </c>
      <c r="G5" s="10">
        <f t="shared" ref="G5:G38" si="3">F5^2</f>
        <v>139.16830434009881</v>
      </c>
    </row>
    <row r="6" spans="1:7" x14ac:dyDescent="0.35">
      <c r="A6" s="5" t="s">
        <v>5</v>
      </c>
      <c r="B6" s="5">
        <v>121.8</v>
      </c>
      <c r="C6" s="5">
        <v>12.55</v>
      </c>
      <c r="D6" s="9">
        <f t="shared" si="0"/>
        <v>15.285900000000002</v>
      </c>
      <c r="E6" s="10">
        <f t="shared" si="1"/>
        <v>0.12550000000000003</v>
      </c>
      <c r="F6" s="10">
        <f t="shared" si="2"/>
        <v>5.3548566571428591</v>
      </c>
      <c r="G6" s="10">
        <f t="shared" si="3"/>
        <v>28.674489818547194</v>
      </c>
    </row>
    <row r="7" spans="1:7" x14ac:dyDescent="0.35">
      <c r="A7" s="5" t="s">
        <v>6</v>
      </c>
      <c r="B7" s="5">
        <v>124.66</v>
      </c>
      <c r="C7" s="5">
        <v>13.28</v>
      </c>
      <c r="D7" s="9">
        <f t="shared" si="0"/>
        <v>16.554848</v>
      </c>
      <c r="E7" s="10">
        <f t="shared" si="1"/>
        <v>0.1328</v>
      </c>
      <c r="F7" s="10">
        <f t="shared" si="2"/>
        <v>6.6238046571428573</v>
      </c>
      <c r="G7" s="10">
        <f t="shared" si="3"/>
        <v>43.874788135987401</v>
      </c>
    </row>
    <row r="8" spans="1:7" x14ac:dyDescent="0.35">
      <c r="A8" s="5" t="s">
        <v>7</v>
      </c>
      <c r="B8" s="5">
        <v>162.54</v>
      </c>
      <c r="C8" s="5">
        <v>13.58</v>
      </c>
      <c r="D8" s="9">
        <f t="shared" si="0"/>
        <v>22.072932000000002</v>
      </c>
      <c r="E8" s="10">
        <f t="shared" si="1"/>
        <v>0.1358</v>
      </c>
      <c r="F8" s="10">
        <f t="shared" si="2"/>
        <v>12.141888657142859</v>
      </c>
      <c r="G8" s="10">
        <f t="shared" si="3"/>
        <v>147.42546016245441</v>
      </c>
    </row>
    <row r="9" spans="1:7" x14ac:dyDescent="0.35">
      <c r="A9" s="5" t="s">
        <v>8</v>
      </c>
      <c r="B9" s="5">
        <v>72.180000000000007</v>
      </c>
      <c r="C9" s="5">
        <v>10.06</v>
      </c>
      <c r="D9" s="9">
        <f t="shared" si="0"/>
        <v>7.2613080000000014</v>
      </c>
      <c r="E9" s="10">
        <f t="shared" si="1"/>
        <v>0.10060000000000001</v>
      </c>
      <c r="F9" s="10">
        <f t="shared" si="2"/>
        <v>-2.6697353428571411</v>
      </c>
      <c r="G9" s="10">
        <f t="shared" si="3"/>
        <v>7.1274868009005363</v>
      </c>
    </row>
    <row r="10" spans="1:7" x14ac:dyDescent="0.35">
      <c r="A10" s="5" t="s">
        <v>9</v>
      </c>
      <c r="B10" s="5">
        <v>106.29</v>
      </c>
      <c r="C10" s="5">
        <v>13.34</v>
      </c>
      <c r="D10" s="9">
        <f t="shared" si="0"/>
        <v>14.179086</v>
      </c>
      <c r="E10" s="10">
        <f t="shared" si="1"/>
        <v>0.13339999999999999</v>
      </c>
      <c r="F10" s="10">
        <f t="shared" si="2"/>
        <v>4.2480426571428573</v>
      </c>
      <c r="G10" s="10">
        <f t="shared" si="3"/>
        <v>18.045866416905348</v>
      </c>
    </row>
    <row r="11" spans="1:7" x14ac:dyDescent="0.35">
      <c r="A11" s="5" t="s">
        <v>10</v>
      </c>
      <c r="B11" s="5">
        <v>132.21</v>
      </c>
      <c r="C11" s="5">
        <v>9.9</v>
      </c>
      <c r="D11" s="9">
        <f t="shared" si="0"/>
        <v>13.088790000000001</v>
      </c>
      <c r="E11" s="10">
        <f t="shared" si="1"/>
        <v>9.9000000000000005E-2</v>
      </c>
      <c r="F11" s="10">
        <f t="shared" si="2"/>
        <v>3.1577466571428587</v>
      </c>
      <c r="G11" s="10">
        <f t="shared" si="3"/>
        <v>9.9713639506968992</v>
      </c>
    </row>
    <row r="12" spans="1:7" x14ac:dyDescent="0.35">
      <c r="A12" s="5" t="s">
        <v>11</v>
      </c>
      <c r="B12" s="5">
        <v>86.97</v>
      </c>
      <c r="C12" s="5">
        <v>8.7100000000000009</v>
      </c>
      <c r="D12" s="9">
        <f t="shared" si="0"/>
        <v>7.5750870000000008</v>
      </c>
      <c r="E12" s="10">
        <f t="shared" si="1"/>
        <v>8.7100000000000011E-2</v>
      </c>
      <c r="F12" s="10">
        <f t="shared" si="2"/>
        <v>-2.3559563428571417</v>
      </c>
      <c r="G12" s="10">
        <f t="shared" si="3"/>
        <v>5.5505302894487976</v>
      </c>
    </row>
    <row r="13" spans="1:7" x14ac:dyDescent="0.35">
      <c r="A13" s="5" t="s">
        <v>12</v>
      </c>
      <c r="B13" s="5">
        <v>129.68</v>
      </c>
      <c r="C13" s="5">
        <v>11</v>
      </c>
      <c r="D13" s="9">
        <f t="shared" si="0"/>
        <v>14.264800000000001</v>
      </c>
      <c r="E13" s="10">
        <f t="shared" si="1"/>
        <v>0.11</v>
      </c>
      <c r="F13" s="10">
        <f t="shared" si="2"/>
        <v>4.3337566571428585</v>
      </c>
      <c r="G13" s="10">
        <f t="shared" si="3"/>
        <v>18.781446763330045</v>
      </c>
    </row>
    <row r="14" spans="1:7" x14ac:dyDescent="0.35">
      <c r="A14" s="5" t="s">
        <v>13</v>
      </c>
      <c r="B14" s="5">
        <v>62.66</v>
      </c>
      <c r="C14" s="5">
        <v>6.83</v>
      </c>
      <c r="D14" s="9">
        <f t="shared" si="0"/>
        <v>4.2796779999999996</v>
      </c>
      <c r="E14" s="10">
        <f t="shared" si="1"/>
        <v>6.83E-2</v>
      </c>
      <c r="F14" s="10">
        <f t="shared" si="2"/>
        <v>-5.6513653428571429</v>
      </c>
      <c r="G14" s="10">
        <f t="shared" si="3"/>
        <v>31.937930238446832</v>
      </c>
    </row>
    <row r="15" spans="1:7" x14ac:dyDescent="0.35">
      <c r="A15" s="5" t="s">
        <v>14</v>
      </c>
      <c r="B15" s="5">
        <v>91.9</v>
      </c>
      <c r="C15" s="5">
        <v>9.59</v>
      </c>
      <c r="D15" s="9">
        <f t="shared" si="0"/>
        <v>8.8132099999999998</v>
      </c>
      <c r="E15" s="10">
        <f t="shared" si="1"/>
        <v>9.5899999999999985E-2</v>
      </c>
      <c r="F15" s="10">
        <f t="shared" si="2"/>
        <v>-1.1178333428571428</v>
      </c>
      <c r="G15" s="10">
        <f t="shared" si="3"/>
        <v>1.2495513824031745</v>
      </c>
    </row>
    <row r="16" spans="1:7" x14ac:dyDescent="0.35">
      <c r="A16" s="5" t="s">
        <v>15</v>
      </c>
      <c r="B16" s="5">
        <v>77.66</v>
      </c>
      <c r="C16" s="5">
        <v>8.48</v>
      </c>
      <c r="D16" s="9">
        <f t="shared" si="0"/>
        <v>6.5855679999999994</v>
      </c>
      <c r="E16" s="10">
        <f t="shared" si="1"/>
        <v>8.48E-2</v>
      </c>
      <c r="F16" s="10">
        <f t="shared" si="2"/>
        <v>-3.3454753428571431</v>
      </c>
      <c r="G16" s="10">
        <f t="shared" si="3"/>
        <v>11.19220526966512</v>
      </c>
    </row>
    <row r="17" spans="1:7" x14ac:dyDescent="0.35">
      <c r="A17" s="5" t="s">
        <v>16</v>
      </c>
      <c r="B17" s="5">
        <v>100.08</v>
      </c>
      <c r="C17" s="5">
        <v>11.22</v>
      </c>
      <c r="D17" s="9">
        <f t="shared" si="0"/>
        <v>11.228975999999999</v>
      </c>
      <c r="E17" s="10">
        <f t="shared" si="1"/>
        <v>0.11219999999999999</v>
      </c>
      <c r="F17" s="10">
        <f t="shared" si="2"/>
        <v>1.2979326571428569</v>
      </c>
      <c r="G17" s="10">
        <f t="shared" si="3"/>
        <v>1.6846291824779169</v>
      </c>
    </row>
    <row r="18" spans="1:7" x14ac:dyDescent="0.35">
      <c r="A18" s="5" t="s">
        <v>17</v>
      </c>
      <c r="B18" s="5">
        <v>148.1</v>
      </c>
      <c r="C18" s="5">
        <v>10.63</v>
      </c>
      <c r="D18" s="9">
        <f t="shared" si="0"/>
        <v>15.743030000000001</v>
      </c>
      <c r="E18" s="10">
        <f t="shared" si="1"/>
        <v>0.10630000000000001</v>
      </c>
      <c r="F18" s="10">
        <f t="shared" si="2"/>
        <v>5.8119866571428584</v>
      </c>
      <c r="G18" s="10">
        <f t="shared" si="3"/>
        <v>33.779188902806617</v>
      </c>
    </row>
    <row r="19" spans="1:7" x14ac:dyDescent="0.35">
      <c r="A19" s="5" t="s">
        <v>18</v>
      </c>
      <c r="B19" s="5">
        <v>92.01</v>
      </c>
      <c r="C19" s="5">
        <v>10.58</v>
      </c>
      <c r="D19" s="9">
        <f t="shared" si="0"/>
        <v>9.7346580000000014</v>
      </c>
      <c r="E19" s="10">
        <f t="shared" si="1"/>
        <v>0.10580000000000001</v>
      </c>
      <c r="F19" s="10">
        <f t="shared" si="2"/>
        <v>-0.19638534285714115</v>
      </c>
      <c r="G19" s="10">
        <f t="shared" si="3"/>
        <v>3.8567202889116879E-2</v>
      </c>
    </row>
    <row r="20" spans="1:7" x14ac:dyDescent="0.35">
      <c r="A20" s="5" t="s">
        <v>19</v>
      </c>
      <c r="B20" s="5">
        <v>85.32</v>
      </c>
      <c r="C20" s="5">
        <v>13.01</v>
      </c>
      <c r="D20" s="9">
        <f t="shared" si="0"/>
        <v>11.100131999999999</v>
      </c>
      <c r="E20" s="10">
        <f t="shared" si="1"/>
        <v>0.13009999999999999</v>
      </c>
      <c r="F20" s="10">
        <f t="shared" si="2"/>
        <v>1.169088657142856</v>
      </c>
      <c r="G20" s="10">
        <f t="shared" si="3"/>
        <v>1.3667682882600865</v>
      </c>
    </row>
    <row r="21" spans="1:7" x14ac:dyDescent="0.35">
      <c r="A21" s="5" t="s">
        <v>20</v>
      </c>
      <c r="B21" s="5">
        <v>105.27</v>
      </c>
      <c r="C21" s="5">
        <v>8.24</v>
      </c>
      <c r="D21" s="9">
        <f t="shared" si="0"/>
        <v>8.6742480000000004</v>
      </c>
      <c r="E21" s="10">
        <f t="shared" si="1"/>
        <v>8.2400000000000001E-2</v>
      </c>
      <c r="F21" s="10">
        <f t="shared" si="2"/>
        <v>-1.2567953428571421</v>
      </c>
      <c r="G21" s="10">
        <f t="shared" si="3"/>
        <v>1.5795345338274014</v>
      </c>
    </row>
    <row r="22" spans="1:7" x14ac:dyDescent="0.35">
      <c r="A22" s="5" t="s">
        <v>21</v>
      </c>
      <c r="B22" s="5">
        <v>60.37</v>
      </c>
      <c r="C22" s="5">
        <v>6.59</v>
      </c>
      <c r="D22" s="9">
        <f t="shared" si="0"/>
        <v>3.9783829999999996</v>
      </c>
      <c r="E22" s="10">
        <f t="shared" si="1"/>
        <v>6.59E-2</v>
      </c>
      <c r="F22" s="10">
        <f t="shared" si="2"/>
        <v>-5.9526603428571434</v>
      </c>
      <c r="G22" s="10">
        <f t="shared" si="3"/>
        <v>35.434165157424125</v>
      </c>
    </row>
    <row r="23" spans="1:7" x14ac:dyDescent="0.35">
      <c r="A23" s="5" t="s">
        <v>22</v>
      </c>
      <c r="B23" s="5">
        <v>77.67</v>
      </c>
      <c r="C23" s="5">
        <v>5.79</v>
      </c>
      <c r="D23" s="9">
        <f t="shared" si="0"/>
        <v>4.4970929999999996</v>
      </c>
      <c r="E23" s="10">
        <f t="shared" si="1"/>
        <v>5.7899999999999993E-2</v>
      </c>
      <c r="F23" s="10">
        <f t="shared" si="2"/>
        <v>-5.433950342857143</v>
      </c>
      <c r="G23" s="10">
        <f t="shared" si="3"/>
        <v>29.527816328637261</v>
      </c>
    </row>
    <row r="24" spans="1:7" x14ac:dyDescent="0.35">
      <c r="A24" s="5" t="s">
        <v>23</v>
      </c>
      <c r="B24" s="5">
        <v>131.47</v>
      </c>
      <c r="C24" s="5">
        <v>10.87</v>
      </c>
      <c r="D24" s="9">
        <f t="shared" si="0"/>
        <v>14.290789</v>
      </c>
      <c r="E24" s="10">
        <f t="shared" si="1"/>
        <v>0.1087</v>
      </c>
      <c r="F24" s="10">
        <f t="shared" si="2"/>
        <v>4.3597456571428577</v>
      </c>
      <c r="G24" s="10">
        <f t="shared" si="3"/>
        <v>19.007382194976007</v>
      </c>
    </row>
    <row r="25" spans="1:7" x14ac:dyDescent="0.35">
      <c r="A25" s="5" t="s">
        <v>24</v>
      </c>
      <c r="B25" s="5">
        <v>70.290000000000006</v>
      </c>
      <c r="C25" s="5">
        <v>6.3</v>
      </c>
      <c r="D25" s="9">
        <f t="shared" si="0"/>
        <v>4.4282700000000004</v>
      </c>
      <c r="E25" s="10">
        <f t="shared" si="1"/>
        <v>6.3E-2</v>
      </c>
      <c r="F25" s="10">
        <f t="shared" si="2"/>
        <v>-5.5027733428571421</v>
      </c>
      <c r="G25" s="10">
        <f t="shared" si="3"/>
        <v>30.280514462859166</v>
      </c>
    </row>
    <row r="26" spans="1:7" x14ac:dyDescent="0.35">
      <c r="A26" s="5" t="s">
        <v>25</v>
      </c>
      <c r="B26" s="5">
        <v>62.05</v>
      </c>
      <c r="C26" s="5">
        <v>7.78</v>
      </c>
      <c r="D26" s="9">
        <f t="shared" si="0"/>
        <v>4.8274900000000001</v>
      </c>
      <c r="E26" s="10">
        <f t="shared" si="1"/>
        <v>7.7800000000000008E-2</v>
      </c>
      <c r="F26" s="10">
        <f t="shared" si="2"/>
        <v>-5.1035533428571425</v>
      </c>
      <c r="G26" s="10">
        <f t="shared" si="3"/>
        <v>26.046256723388314</v>
      </c>
    </row>
    <row r="27" spans="1:7" x14ac:dyDescent="0.35">
      <c r="A27" s="5" t="s">
        <v>26</v>
      </c>
      <c r="B27" s="5">
        <v>83.73</v>
      </c>
      <c r="C27" s="5">
        <v>8.4</v>
      </c>
      <c r="D27" s="9">
        <f t="shared" si="0"/>
        <v>7.0333200000000007</v>
      </c>
      <c r="E27" s="10">
        <f t="shared" si="1"/>
        <v>8.4000000000000005E-2</v>
      </c>
      <c r="F27" s="10">
        <f t="shared" si="2"/>
        <v>-2.8977233428571418</v>
      </c>
      <c r="G27" s="10">
        <f t="shared" si="3"/>
        <v>8.3968005717391687</v>
      </c>
    </row>
    <row r="28" spans="1:7" x14ac:dyDescent="0.35">
      <c r="A28" s="5" t="s">
        <v>27</v>
      </c>
      <c r="B28" s="5">
        <v>61.75</v>
      </c>
      <c r="C28" s="5">
        <v>7.79</v>
      </c>
      <c r="D28" s="9">
        <f t="shared" si="0"/>
        <v>4.8103250000000006</v>
      </c>
      <c r="E28" s="10">
        <f t="shared" si="1"/>
        <v>7.7900000000000011E-2</v>
      </c>
      <c r="F28" s="10">
        <f t="shared" si="2"/>
        <v>-5.1207183428571419</v>
      </c>
      <c r="G28" s="10">
        <f t="shared" si="3"/>
        <v>26.221756346873594</v>
      </c>
    </row>
    <row r="29" spans="1:7" x14ac:dyDescent="0.35">
      <c r="A29" s="5" t="s">
        <v>28</v>
      </c>
      <c r="B29" s="5">
        <v>73.8</v>
      </c>
      <c r="C29" s="5">
        <v>8.0500000000000007</v>
      </c>
      <c r="D29" s="9">
        <f t="shared" si="0"/>
        <v>5.9409000000000001</v>
      </c>
      <c r="E29" s="10">
        <f t="shared" si="1"/>
        <v>8.0500000000000002E-2</v>
      </c>
      <c r="F29" s="10">
        <f t="shared" si="2"/>
        <v>-3.9901433428571424</v>
      </c>
      <c r="G29" s="10">
        <f t="shared" si="3"/>
        <v>15.921243896547171</v>
      </c>
    </row>
    <row r="30" spans="1:7" x14ac:dyDescent="0.35">
      <c r="A30" s="5" t="s">
        <v>29</v>
      </c>
      <c r="B30" s="5">
        <v>173.38</v>
      </c>
      <c r="C30" s="5">
        <v>13.32</v>
      </c>
      <c r="D30" s="9">
        <f t="shared" si="0"/>
        <v>23.094216000000003</v>
      </c>
      <c r="E30" s="10">
        <f t="shared" si="1"/>
        <v>0.13320000000000001</v>
      </c>
      <c r="F30" s="10">
        <f t="shared" si="2"/>
        <v>13.16317265714286</v>
      </c>
      <c r="G30" s="10">
        <f t="shared" si="3"/>
        <v>173.26911440175343</v>
      </c>
    </row>
    <row r="31" spans="1:7" x14ac:dyDescent="0.35">
      <c r="A31" s="5" t="s">
        <v>30</v>
      </c>
      <c r="B31" s="5">
        <v>88.7</v>
      </c>
      <c r="C31" s="5">
        <v>6.16</v>
      </c>
      <c r="D31" s="9">
        <f t="shared" si="0"/>
        <v>5.4639200000000008</v>
      </c>
      <c r="E31" s="10">
        <f t="shared" si="1"/>
        <v>6.1600000000000009E-2</v>
      </c>
      <c r="F31" s="10">
        <f t="shared" si="2"/>
        <v>-4.4671233428571417</v>
      </c>
      <c r="G31" s="10">
        <f t="shared" si="3"/>
        <v>19.955190960299166</v>
      </c>
    </row>
    <row r="32" spans="1:7" x14ac:dyDescent="0.35">
      <c r="A32" s="5" t="s">
        <v>31</v>
      </c>
      <c r="B32" s="5">
        <v>257.29000000000002</v>
      </c>
      <c r="C32" s="5">
        <v>14.15</v>
      </c>
      <c r="D32" s="9">
        <f t="shared" si="0"/>
        <v>36.406535000000005</v>
      </c>
      <c r="E32" s="10">
        <f t="shared" si="1"/>
        <v>0.14150000000000001</v>
      </c>
      <c r="F32" s="10">
        <f t="shared" si="2"/>
        <v>26.475491657142861</v>
      </c>
      <c r="G32" s="10">
        <f t="shared" si="3"/>
        <v>700.95165848744125</v>
      </c>
    </row>
    <row r="33" spans="1:7" x14ac:dyDescent="0.35">
      <c r="A33" s="5" t="s">
        <v>10</v>
      </c>
      <c r="B33" s="5">
        <v>6.93</v>
      </c>
      <c r="C33" s="5">
        <v>5.68</v>
      </c>
      <c r="D33" s="9">
        <f t="shared" si="0"/>
        <v>0.39362399999999992</v>
      </c>
      <c r="E33" s="10">
        <f t="shared" si="1"/>
        <v>5.6799999999999989E-2</v>
      </c>
      <c r="F33" s="10">
        <f t="shared" si="2"/>
        <v>-9.5374193428571434</v>
      </c>
      <c r="G33" s="10">
        <f t="shared" si="3"/>
        <v>90.962367721505586</v>
      </c>
    </row>
    <row r="34" spans="1:7" x14ac:dyDescent="0.35">
      <c r="A34" s="5" t="s">
        <v>32</v>
      </c>
      <c r="B34" s="5">
        <v>40.08</v>
      </c>
      <c r="C34" s="5">
        <v>7.69</v>
      </c>
      <c r="D34" s="9">
        <f t="shared" si="0"/>
        <v>3.0821519999999998</v>
      </c>
      <c r="E34" s="10">
        <f t="shared" si="1"/>
        <v>7.6899999999999996E-2</v>
      </c>
      <c r="F34" s="10">
        <f t="shared" si="2"/>
        <v>-6.8488913428571427</v>
      </c>
      <c r="G34" s="10">
        <f t="shared" si="3"/>
        <v>46.907312626263518</v>
      </c>
    </row>
    <row r="35" spans="1:7" x14ac:dyDescent="0.35">
      <c r="A35" s="5" t="s">
        <v>33</v>
      </c>
      <c r="B35" s="5">
        <v>8.66</v>
      </c>
      <c r="C35" s="5">
        <v>4.2</v>
      </c>
      <c r="D35" s="9">
        <f t="shared" si="0"/>
        <v>0.36371999999999999</v>
      </c>
      <c r="E35" s="10">
        <f t="shared" si="1"/>
        <v>4.1999999999999996E-2</v>
      </c>
      <c r="F35" s="10">
        <f t="shared" si="2"/>
        <v>-9.5673233428571418</v>
      </c>
      <c r="G35" s="10">
        <f t="shared" si="3"/>
        <v>91.533675946779155</v>
      </c>
    </row>
    <row r="36" spans="1:7" x14ac:dyDescent="0.35">
      <c r="A36" s="5" t="s">
        <v>24</v>
      </c>
      <c r="B36" s="5">
        <v>74.36</v>
      </c>
      <c r="C36" s="5">
        <v>3.8</v>
      </c>
      <c r="D36" s="9">
        <f t="shared" si="0"/>
        <v>2.8256799999999997</v>
      </c>
      <c r="E36" s="10">
        <f t="shared" si="1"/>
        <v>3.7999999999999999E-2</v>
      </c>
      <c r="F36" s="10">
        <f t="shared" si="2"/>
        <v>-7.1053633428571423</v>
      </c>
      <c r="G36" s="10">
        <f t="shared" si="3"/>
        <v>50.486188234018023</v>
      </c>
    </row>
    <row r="37" spans="1:7" x14ac:dyDescent="0.35">
      <c r="A37" s="5" t="s">
        <v>28</v>
      </c>
      <c r="B37" s="5">
        <v>19.489999999999998</v>
      </c>
      <c r="C37" s="5">
        <v>6.14</v>
      </c>
      <c r="D37" s="9">
        <f t="shared" si="0"/>
        <v>1.1966859999999999</v>
      </c>
      <c r="E37" s="10">
        <f t="shared" si="1"/>
        <v>6.1400000000000003E-2</v>
      </c>
      <c r="F37" s="10">
        <f t="shared" si="2"/>
        <v>-8.7343573428571428</v>
      </c>
      <c r="G37" s="10">
        <f t="shared" si="3"/>
        <v>76.288998192722488</v>
      </c>
    </row>
    <row r="38" spans="1:7" x14ac:dyDescent="0.35">
      <c r="A38" s="5" t="s">
        <v>30</v>
      </c>
      <c r="B38" s="5">
        <v>18.27</v>
      </c>
      <c r="C38" s="5">
        <v>7.28</v>
      </c>
      <c r="D38" s="9">
        <f t="shared" si="0"/>
        <v>1.3300560000000001</v>
      </c>
      <c r="E38" s="10">
        <f t="shared" si="1"/>
        <v>7.2800000000000004E-2</v>
      </c>
      <c r="F38" s="10">
        <f t="shared" si="2"/>
        <v>-8.6009873428571417</v>
      </c>
      <c r="G38" s="10">
        <f t="shared" si="3"/>
        <v>73.976983271988757</v>
      </c>
    </row>
    <row r="39" spans="1:7" x14ac:dyDescent="0.35">
      <c r="C39" s="6" t="s">
        <v>35</v>
      </c>
      <c r="D39" s="7">
        <f>SUM(D4:D38)</f>
        <v>347.58651700000001</v>
      </c>
    </row>
    <row r="40" spans="1:7" x14ac:dyDescent="0.35">
      <c r="C40" s="6" t="s">
        <v>36</v>
      </c>
      <c r="D40" s="8">
        <f>AVERAGE(D4:D38)</f>
        <v>9.9310433428571425</v>
      </c>
    </row>
    <row r="41" spans="1:7" x14ac:dyDescent="0.35">
      <c r="C41" s="6" t="s">
        <v>37</v>
      </c>
      <c r="D41" s="8">
        <f>SUM(E4:E38)</f>
        <v>3.2154999999999996</v>
      </c>
    </row>
    <row r="42" spans="1:7" x14ac:dyDescent="0.35">
      <c r="C42" s="6" t="s">
        <v>0</v>
      </c>
      <c r="D42" s="8">
        <f>D41/35</f>
        <v>9.1871428571428562E-2</v>
      </c>
    </row>
    <row r="43" spans="1:7" x14ac:dyDescent="0.35">
      <c r="C43" s="6" t="s">
        <v>38</v>
      </c>
      <c r="D43" s="7">
        <f>SUM(G4:G38)</f>
        <v>2047.1086690172885</v>
      </c>
    </row>
    <row r="44" spans="1:7" x14ac:dyDescent="0.35">
      <c r="C44" s="6" t="s">
        <v>39</v>
      </c>
      <c r="D44" s="8">
        <f>D43/34</f>
        <v>60.20907850050849</v>
      </c>
    </row>
    <row r="45" spans="1:7" x14ac:dyDescent="0.35">
      <c r="C45" s="6" t="s">
        <v>40</v>
      </c>
      <c r="D45" s="8">
        <f>1-D42</f>
        <v>0.9081285714285714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2026-05-26T11:58:08Z</dcterms:created>
  <dcterms:modified xsi:type="dcterms:W3CDTF">2026-06-02T14:55:15Z</dcterms:modified>
</cp:coreProperties>
</file>